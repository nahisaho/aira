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suke/Desktop/多田先生MTG資料/"/>
    </mc:Choice>
  </mc:AlternateContent>
  <xr:revisionPtr revIDLastSave="0" documentId="13_ncr:1_{D0A3F86F-66B7-994E-85D7-49BCFEB56173}" xr6:coauthVersionLast="47" xr6:coauthVersionMax="47" xr10:uidLastSave="{00000000-0000-0000-0000-000000000000}"/>
  <bookViews>
    <workbookView xWindow="29920" yWindow="500" windowWidth="40960" windowHeight="22540" xr2:uid="{73ED6735-2B81-D14B-B679-970AD528C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N37" i="1" s="1"/>
  <c r="L54" i="1"/>
  <c r="N54" i="1" s="1"/>
  <c r="L34" i="1"/>
  <c r="N34" i="1" s="1"/>
  <c r="L46" i="1"/>
  <c r="N46" i="1" s="1"/>
  <c r="L31" i="1"/>
  <c r="N31" i="1" s="1"/>
  <c r="L45" i="1"/>
  <c r="N45" i="1" s="1"/>
  <c r="L40" i="1"/>
  <c r="N40" i="1" s="1"/>
  <c r="L42" i="1"/>
  <c r="N42" i="1" s="1"/>
  <c r="L25" i="1"/>
  <c r="N25" i="1" s="1"/>
  <c r="L10" i="1"/>
  <c r="N10" i="1" s="1"/>
  <c r="L12" i="1"/>
  <c r="N12" i="1" s="1"/>
  <c r="L29" i="1"/>
  <c r="N29" i="1" s="1"/>
  <c r="L22" i="1"/>
  <c r="N22" i="1" s="1"/>
  <c r="L27" i="1"/>
  <c r="N27" i="1" s="1"/>
  <c r="L5" i="1"/>
  <c r="N5" i="1" s="1"/>
  <c r="L21" i="1"/>
  <c r="N21" i="1" s="1"/>
  <c r="L11" i="1"/>
  <c r="N11" i="1" s="1"/>
  <c r="L3" i="1"/>
  <c r="N3" i="1" s="1"/>
  <c r="L51" i="1"/>
  <c r="N51" i="1" s="1"/>
  <c r="L15" i="1"/>
  <c r="N15" i="1" s="1"/>
  <c r="L9" i="1"/>
  <c r="N9" i="1" s="1"/>
  <c r="L33" i="1"/>
  <c r="N33" i="1" s="1"/>
  <c r="L24" i="1"/>
  <c r="N24" i="1" s="1"/>
  <c r="L28" i="1"/>
  <c r="N28" i="1" s="1"/>
  <c r="L26" i="1"/>
  <c r="N26" i="1" s="1"/>
  <c r="L36" i="1"/>
  <c r="N36" i="1" s="1"/>
  <c r="L39" i="1"/>
  <c r="N39" i="1" s="1"/>
  <c r="L13" i="1"/>
  <c r="N13" i="1" s="1"/>
  <c r="L6" i="1"/>
  <c r="N6" i="1" s="1"/>
  <c r="L49" i="1"/>
  <c r="N49" i="1" s="1"/>
  <c r="L32" i="1"/>
  <c r="N32" i="1" s="1"/>
  <c r="L38" i="1"/>
  <c r="N38" i="1" s="1"/>
  <c r="L16" i="1"/>
  <c r="N16" i="1" s="1"/>
  <c r="L8" i="1"/>
  <c r="N8" i="1" s="1"/>
  <c r="L53" i="1"/>
  <c r="N53" i="1" s="1"/>
  <c r="L43" i="1"/>
  <c r="N43" i="1" s="1"/>
  <c r="L47" i="1"/>
  <c r="N47" i="1" s="1"/>
  <c r="L52" i="1"/>
  <c r="N52" i="1" s="1"/>
  <c r="L18" i="1"/>
  <c r="N18" i="1" s="1"/>
  <c r="L44" i="1"/>
  <c r="N44" i="1" s="1"/>
  <c r="L30" i="1"/>
  <c r="N30" i="1" s="1"/>
  <c r="L4" i="1"/>
  <c r="N4" i="1" s="1"/>
  <c r="L35" i="1"/>
  <c r="N35" i="1" s="1"/>
  <c r="L7" i="1"/>
  <c r="N7" i="1" s="1"/>
  <c r="L23" i="1"/>
  <c r="N23" i="1" s="1"/>
  <c r="L20" i="1"/>
  <c r="N20" i="1" s="1"/>
  <c r="L41" i="1"/>
  <c r="N41" i="1" s="1"/>
  <c r="L14" i="1"/>
  <c r="N14" i="1" s="1"/>
  <c r="L50" i="1"/>
  <c r="N50" i="1" s="1"/>
  <c r="L2" i="1"/>
  <c r="N2" i="1" s="1"/>
  <c r="L19" i="1"/>
  <c r="N19" i="1" s="1"/>
  <c r="L48" i="1"/>
  <c r="N48" i="1" s="1"/>
  <c r="L17" i="1"/>
  <c r="N17" i="1" s="1"/>
</calcChain>
</file>

<file path=xl/sharedStrings.xml><?xml version="1.0" encoding="utf-8"?>
<sst xmlns="http://schemas.openxmlformats.org/spreadsheetml/2006/main" count="26" uniqueCount="26">
  <si>
    <t>さぬきNo.</t>
    <phoneticPr fontId="2"/>
  </si>
  <si>
    <t>10</t>
    <phoneticPr fontId="2"/>
  </si>
  <si>
    <t>0</t>
    <phoneticPr fontId="2"/>
  </si>
  <si>
    <t>138</t>
    <phoneticPr fontId="2"/>
  </si>
  <si>
    <t>34</t>
    <phoneticPr fontId="2"/>
  </si>
  <si>
    <t>76</t>
    <phoneticPr fontId="2"/>
  </si>
  <si>
    <t>99</t>
    <phoneticPr fontId="2"/>
  </si>
  <si>
    <t>67</t>
    <phoneticPr fontId="2"/>
  </si>
  <si>
    <t>Age (years)</t>
    <phoneticPr fontId="2"/>
  </si>
  <si>
    <t>Height (cm)</t>
    <phoneticPr fontId="2"/>
  </si>
  <si>
    <t>Body weight (kg)</t>
    <phoneticPr fontId="2"/>
  </si>
  <si>
    <t>Heart rate (beats/min)</t>
    <phoneticPr fontId="2"/>
  </si>
  <si>
    <t>Systolic BP (mmHg)</t>
    <phoneticPr fontId="2"/>
  </si>
  <si>
    <t>Diastolic BP (mmHg)</t>
    <phoneticPr fontId="2"/>
  </si>
  <si>
    <t>TC (mg/dL)</t>
    <phoneticPr fontId="2"/>
  </si>
  <si>
    <t>TG (mg/dL)</t>
    <phoneticPr fontId="2"/>
  </si>
  <si>
    <t>HDL (mg/dL)</t>
    <phoneticPr fontId="2"/>
  </si>
  <si>
    <t>LDLC (Martin,小数点第1)</t>
    <rPh sb="13" eb="16">
      <t xml:space="preserve">ショウスウテン </t>
    </rPh>
    <rPh sb="16" eb="17">
      <t xml:space="preserve">ダイ </t>
    </rPh>
    <phoneticPr fontId="2"/>
  </si>
  <si>
    <t>Pathogenic variants of FH (Yes=1,No=0)</t>
    <phoneticPr fontId="2"/>
  </si>
  <si>
    <t>Drug therapy (Yes=1, No=0)</t>
    <phoneticPr fontId="2"/>
  </si>
  <si>
    <t>Sex (Male=1,Female=0)</t>
    <phoneticPr fontId="2"/>
  </si>
  <si>
    <t>Gene variants (LDLR=1, PCSK9=2, APOB=3, LDLRAP1=4)</t>
    <phoneticPr fontId="2"/>
  </si>
  <si>
    <t>Zygosity (Hetero=1, Homo=2)</t>
    <phoneticPr fontId="2"/>
  </si>
  <si>
    <t>LDLC (Friedewald,小数点第1)</t>
  </si>
  <si>
    <t>LDLC F-M</t>
    <phoneticPr fontId="2"/>
  </si>
  <si>
    <t>LDLC (F-M)≧0 (Yes=1, No=0)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</si>
</sst>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574B-C489-4840-A305-4F702C2524EE}">
  <dimension ref="A1:S282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RowHeight="20"/>
  <cols>
    <col min="1" max="1" width="10.7109375" style="1"/>
    <col min="2" max="2" width="12.42578125" style="2" customWidth="1"/>
    <col min="3" max="3" width="21.85546875" style="2" customWidth="1"/>
    <col min="4" max="4" width="10.85546875" style="2" customWidth="1"/>
    <col min="5" max="5" width="15" style="2" customWidth="1"/>
    <col min="6" max="6" width="20.28515625" style="2" customWidth="1"/>
    <col min="7" max="7" width="19.140625" style="2" customWidth="1"/>
    <col min="8" max="8" width="18.42578125" style="2" customWidth="1"/>
    <col min="9" max="9" width="12.140625" style="1" customWidth="1"/>
    <col min="10" max="10" width="14.140625" style="1" customWidth="1"/>
    <col min="11" max="11" width="13" style="1" customWidth="1"/>
    <col min="12" max="12" width="24.28515625" style="1" customWidth="1"/>
    <col min="13" max="14" width="22" style="1" customWidth="1"/>
    <col min="15" max="15" width="30" style="2" customWidth="1"/>
    <col min="16" max="16" width="27.140625" style="1" customWidth="1"/>
    <col min="17" max="17" width="38" style="2" customWidth="1"/>
    <col min="18" max="18" width="48.85546875" style="2" customWidth="1"/>
    <col min="19" max="19" width="30.140625" style="2" customWidth="1"/>
  </cols>
  <sheetData>
    <row r="1" spans="1:19" ht="70" customHeight="1" thickBot="1">
      <c r="A1" s="10" t="s">
        <v>0</v>
      </c>
      <c r="B1" s="10" t="s">
        <v>8</v>
      </c>
      <c r="C1" s="10" t="s">
        <v>20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23</v>
      </c>
      <c r="M1" s="10" t="s">
        <v>17</v>
      </c>
      <c r="N1" s="10" t="s">
        <v>24</v>
      </c>
      <c r="O1" s="10" t="s">
        <v>25</v>
      </c>
      <c r="P1" s="10" t="s">
        <v>19</v>
      </c>
      <c r="Q1" s="10" t="s">
        <v>18</v>
      </c>
      <c r="R1" s="10" t="s">
        <v>21</v>
      </c>
      <c r="S1" s="10" t="s">
        <v>22</v>
      </c>
    </row>
    <row r="2" spans="1:19">
      <c r="A2" s="12">
        <v>1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12">
        <v>217</v>
      </c>
      <c r="J2" s="12">
        <v>54</v>
      </c>
      <c r="K2" s="12">
        <v>53</v>
      </c>
      <c r="L2" s="12">
        <f t="shared" ref="L2:L33" si="0">I2-K2-J2/5</f>
        <v>153.19999999999999</v>
      </c>
      <c r="M2" s="12">
        <v>149</v>
      </c>
      <c r="N2" s="12">
        <f t="shared" ref="N2:N33" si="1">L2-M2</f>
        <v>4.1999999999999886</v>
      </c>
      <c r="O2" s="13">
        <v>1</v>
      </c>
      <c r="P2" s="12">
        <v>0</v>
      </c>
      <c r="Q2" s="14">
        <v>0</v>
      </c>
      <c r="R2" s="14"/>
      <c r="S2" s="14"/>
    </row>
    <row r="3" spans="1:19">
      <c r="A3" s="11">
        <v>7</v>
      </c>
      <c r="B3" s="15">
        <v>2</v>
      </c>
      <c r="C3" s="15">
        <v>1</v>
      </c>
      <c r="D3" s="15"/>
      <c r="E3" s="15"/>
      <c r="F3" s="15"/>
      <c r="G3" s="15"/>
      <c r="H3" s="15"/>
      <c r="I3" s="11">
        <v>321</v>
      </c>
      <c r="J3" s="11">
        <v>105</v>
      </c>
      <c r="K3" s="11">
        <v>54</v>
      </c>
      <c r="L3" s="11">
        <f t="shared" si="0"/>
        <v>246</v>
      </c>
      <c r="M3" s="11">
        <v>243.7</v>
      </c>
      <c r="N3" s="11">
        <f t="shared" si="1"/>
        <v>2.3000000000000114</v>
      </c>
      <c r="O3" s="15">
        <v>1</v>
      </c>
      <c r="P3" s="11">
        <v>0</v>
      </c>
      <c r="Q3" s="15">
        <v>1</v>
      </c>
      <c r="R3" s="15">
        <v>1</v>
      </c>
      <c r="S3" s="15">
        <v>1</v>
      </c>
    </row>
    <row r="4" spans="1:19">
      <c r="A4" s="11">
        <v>8</v>
      </c>
      <c r="B4" s="15">
        <v>5</v>
      </c>
      <c r="C4" s="15">
        <v>0</v>
      </c>
      <c r="D4" s="15"/>
      <c r="E4" s="15"/>
      <c r="F4" s="15"/>
      <c r="G4" s="15"/>
      <c r="H4" s="15"/>
      <c r="I4" s="11">
        <v>355</v>
      </c>
      <c r="J4" s="11">
        <v>28</v>
      </c>
      <c r="K4" s="11">
        <v>64</v>
      </c>
      <c r="L4" s="11">
        <f t="shared" si="0"/>
        <v>285.39999999999998</v>
      </c>
      <c r="M4" s="11">
        <v>282</v>
      </c>
      <c r="N4" s="11">
        <f t="shared" si="1"/>
        <v>3.3999999999999773</v>
      </c>
      <c r="O4" s="15">
        <v>1</v>
      </c>
      <c r="P4" s="11">
        <v>0</v>
      </c>
      <c r="Q4" s="15">
        <v>1</v>
      </c>
      <c r="R4" s="15">
        <v>1</v>
      </c>
      <c r="S4" s="15">
        <v>1</v>
      </c>
    </row>
    <row r="5" spans="1:19">
      <c r="A5" s="11">
        <v>19</v>
      </c>
      <c r="B5" s="15">
        <v>12</v>
      </c>
      <c r="C5" s="15">
        <v>1</v>
      </c>
      <c r="D5" s="15">
        <v>163</v>
      </c>
      <c r="E5" s="15">
        <v>44.4</v>
      </c>
      <c r="F5" s="15"/>
      <c r="G5" s="15">
        <v>94</v>
      </c>
      <c r="H5" s="15">
        <v>66</v>
      </c>
      <c r="I5" s="11">
        <v>235</v>
      </c>
      <c r="J5" s="11">
        <v>74</v>
      </c>
      <c r="K5" s="11">
        <v>42</v>
      </c>
      <c r="L5" s="11">
        <f t="shared" si="0"/>
        <v>178.2</v>
      </c>
      <c r="M5" s="11">
        <v>175.4</v>
      </c>
      <c r="N5" s="11">
        <f t="shared" si="1"/>
        <v>2.7999999999999829</v>
      </c>
      <c r="O5" s="15">
        <v>1</v>
      </c>
      <c r="P5" s="11">
        <v>0</v>
      </c>
      <c r="Q5" s="15">
        <v>1</v>
      </c>
      <c r="R5" s="15">
        <v>1</v>
      </c>
      <c r="S5" s="15">
        <v>1</v>
      </c>
    </row>
    <row r="6" spans="1:19">
      <c r="A6" s="11">
        <v>20</v>
      </c>
      <c r="B6" s="15">
        <v>11</v>
      </c>
      <c r="C6" s="15">
        <v>0</v>
      </c>
      <c r="D6" s="15">
        <v>139.69999999999999</v>
      </c>
      <c r="E6" s="15">
        <v>33.700000000000003</v>
      </c>
      <c r="F6" s="15">
        <v>87</v>
      </c>
      <c r="G6" s="15">
        <v>95</v>
      </c>
      <c r="H6" s="15">
        <v>64</v>
      </c>
      <c r="I6" s="11">
        <v>192</v>
      </c>
      <c r="J6" s="11">
        <v>102</v>
      </c>
      <c r="K6" s="11">
        <v>48</v>
      </c>
      <c r="L6" s="11">
        <f t="shared" si="0"/>
        <v>123.6</v>
      </c>
      <c r="M6" s="11">
        <v>123.6</v>
      </c>
      <c r="N6" s="11">
        <f t="shared" si="1"/>
        <v>0</v>
      </c>
      <c r="O6" s="15">
        <v>1</v>
      </c>
      <c r="P6" s="11">
        <v>0</v>
      </c>
      <c r="Q6" s="15">
        <v>0</v>
      </c>
      <c r="R6" s="15"/>
      <c r="S6" s="15"/>
    </row>
    <row r="7" spans="1:19">
      <c r="A7" s="11">
        <v>21</v>
      </c>
      <c r="B7" s="15">
        <v>12</v>
      </c>
      <c r="C7" s="15">
        <v>0</v>
      </c>
      <c r="D7" s="15">
        <v>155.5</v>
      </c>
      <c r="E7" s="15">
        <v>50.2</v>
      </c>
      <c r="F7" s="15">
        <v>70</v>
      </c>
      <c r="G7" s="15">
        <v>131</v>
      </c>
      <c r="H7" s="15">
        <v>69</v>
      </c>
      <c r="I7" s="11">
        <v>257</v>
      </c>
      <c r="J7" s="11">
        <v>87</v>
      </c>
      <c r="K7" s="11">
        <v>49</v>
      </c>
      <c r="L7" s="11">
        <f t="shared" si="0"/>
        <v>190.6</v>
      </c>
      <c r="M7" s="11">
        <v>188.2</v>
      </c>
      <c r="N7" s="11">
        <f t="shared" si="1"/>
        <v>2.4000000000000057</v>
      </c>
      <c r="O7" s="15">
        <v>1</v>
      </c>
      <c r="P7" s="11">
        <v>0</v>
      </c>
      <c r="Q7" s="15">
        <v>1</v>
      </c>
      <c r="R7" s="15">
        <v>1</v>
      </c>
      <c r="S7" s="15">
        <v>1</v>
      </c>
    </row>
    <row r="8" spans="1:19">
      <c r="A8" s="11">
        <v>28</v>
      </c>
      <c r="B8" s="15">
        <v>12</v>
      </c>
      <c r="C8" s="15">
        <v>1</v>
      </c>
      <c r="D8" s="15">
        <v>161</v>
      </c>
      <c r="E8" s="15">
        <v>48.3</v>
      </c>
      <c r="F8" s="15">
        <v>74</v>
      </c>
      <c r="G8" s="15">
        <v>107</v>
      </c>
      <c r="H8" s="15">
        <v>70</v>
      </c>
      <c r="I8" s="11">
        <v>219</v>
      </c>
      <c r="J8" s="11">
        <v>39</v>
      </c>
      <c r="K8" s="11">
        <v>64</v>
      </c>
      <c r="L8" s="11">
        <f t="shared" si="0"/>
        <v>147.19999999999999</v>
      </c>
      <c r="M8" s="11">
        <v>143.19999999999999</v>
      </c>
      <c r="N8" s="11">
        <f t="shared" si="1"/>
        <v>4</v>
      </c>
      <c r="O8" s="15">
        <v>1</v>
      </c>
      <c r="P8" s="11">
        <v>0</v>
      </c>
      <c r="Q8" s="15">
        <v>0</v>
      </c>
      <c r="R8" s="15"/>
      <c r="S8" s="15"/>
    </row>
    <row r="9" spans="1:19">
      <c r="A9" s="11">
        <v>35</v>
      </c>
      <c r="B9" s="15">
        <v>10</v>
      </c>
      <c r="C9" s="15">
        <v>1</v>
      </c>
      <c r="D9" s="15">
        <v>153.1</v>
      </c>
      <c r="E9" s="15">
        <v>66.7</v>
      </c>
      <c r="F9" s="15">
        <v>81</v>
      </c>
      <c r="G9" s="15">
        <v>90</v>
      </c>
      <c r="H9" s="15">
        <v>56</v>
      </c>
      <c r="I9" s="11">
        <v>246</v>
      </c>
      <c r="J9" s="11">
        <v>88</v>
      </c>
      <c r="K9" s="11">
        <v>50</v>
      </c>
      <c r="L9" s="11">
        <f t="shared" si="0"/>
        <v>178.4</v>
      </c>
      <c r="M9" s="11">
        <v>176</v>
      </c>
      <c r="N9" s="11">
        <f t="shared" si="1"/>
        <v>2.4000000000000057</v>
      </c>
      <c r="O9" s="15">
        <v>1</v>
      </c>
      <c r="P9" s="11">
        <v>0</v>
      </c>
      <c r="Q9" s="15">
        <v>0</v>
      </c>
      <c r="R9" s="15"/>
      <c r="S9" s="15"/>
    </row>
    <row r="10" spans="1:19">
      <c r="A10" s="11">
        <v>45</v>
      </c>
      <c r="B10" s="15">
        <v>12</v>
      </c>
      <c r="C10" s="15">
        <v>1</v>
      </c>
      <c r="D10" s="15">
        <v>147.5</v>
      </c>
      <c r="E10" s="15">
        <v>32.9</v>
      </c>
      <c r="F10" s="15">
        <v>92</v>
      </c>
      <c r="G10" s="15">
        <v>97</v>
      </c>
      <c r="H10" s="15">
        <v>63</v>
      </c>
      <c r="I10" s="11">
        <v>237</v>
      </c>
      <c r="J10" s="11">
        <v>252</v>
      </c>
      <c r="K10" s="11">
        <v>35</v>
      </c>
      <c r="L10" s="11">
        <f t="shared" si="0"/>
        <v>151.6</v>
      </c>
      <c r="M10" s="11">
        <v>160.69999999999999</v>
      </c>
      <c r="N10" s="11">
        <f t="shared" si="1"/>
        <v>-9.0999999999999943</v>
      </c>
      <c r="O10" s="15">
        <v>0</v>
      </c>
      <c r="P10" s="11">
        <v>0</v>
      </c>
      <c r="Q10" s="15">
        <v>0</v>
      </c>
      <c r="R10" s="15"/>
      <c r="S10" s="15"/>
    </row>
    <row r="11" spans="1:19">
      <c r="A11" s="11">
        <v>51</v>
      </c>
      <c r="B11" s="15">
        <v>11</v>
      </c>
      <c r="C11" s="15">
        <v>1</v>
      </c>
      <c r="D11" s="15">
        <v>135</v>
      </c>
      <c r="E11" s="15">
        <v>36.5</v>
      </c>
      <c r="F11" s="15">
        <v>79</v>
      </c>
      <c r="G11" s="15">
        <v>125</v>
      </c>
      <c r="H11" s="15">
        <v>77</v>
      </c>
      <c r="I11" s="11">
        <v>234</v>
      </c>
      <c r="J11" s="11">
        <v>63</v>
      </c>
      <c r="K11" s="11">
        <v>99</v>
      </c>
      <c r="L11" s="11">
        <f t="shared" si="0"/>
        <v>122.4</v>
      </c>
      <c r="M11" s="11">
        <v>119.6</v>
      </c>
      <c r="N11" s="11">
        <f t="shared" si="1"/>
        <v>2.8000000000000114</v>
      </c>
      <c r="O11" s="15">
        <v>1</v>
      </c>
      <c r="P11" s="11">
        <v>0</v>
      </c>
      <c r="Q11" s="15">
        <v>0</v>
      </c>
      <c r="R11" s="15"/>
      <c r="S11" s="15"/>
    </row>
    <row r="12" spans="1:19">
      <c r="A12" s="11">
        <v>59</v>
      </c>
      <c r="B12" s="15">
        <v>10</v>
      </c>
      <c r="C12" s="15">
        <v>1</v>
      </c>
      <c r="D12" s="15">
        <v>149</v>
      </c>
      <c r="E12" s="15">
        <v>49</v>
      </c>
      <c r="F12" s="15">
        <v>73</v>
      </c>
      <c r="G12" s="15">
        <v>100</v>
      </c>
      <c r="H12" s="15">
        <v>62</v>
      </c>
      <c r="I12" s="11">
        <v>203</v>
      </c>
      <c r="J12" s="11">
        <v>206</v>
      </c>
      <c r="K12" s="11">
        <v>45</v>
      </c>
      <c r="L12" s="11">
        <f t="shared" si="0"/>
        <v>116.8</v>
      </c>
      <c r="M12" s="11">
        <v>125.8</v>
      </c>
      <c r="N12" s="11">
        <f t="shared" si="1"/>
        <v>-9</v>
      </c>
      <c r="O12" s="15">
        <v>0</v>
      </c>
      <c r="P12" s="11">
        <v>0</v>
      </c>
      <c r="Q12" s="15">
        <v>0</v>
      </c>
      <c r="R12" s="15"/>
      <c r="S12" s="15"/>
    </row>
    <row r="13" spans="1:19">
      <c r="A13" s="11">
        <v>61</v>
      </c>
      <c r="B13" s="15">
        <v>10</v>
      </c>
      <c r="C13" s="15">
        <v>1</v>
      </c>
      <c r="D13" s="15">
        <v>141.1</v>
      </c>
      <c r="E13" s="15">
        <v>34.299999999999997</v>
      </c>
      <c r="F13" s="15">
        <v>108</v>
      </c>
      <c r="G13" s="15">
        <v>97</v>
      </c>
      <c r="H13" s="15">
        <v>65</v>
      </c>
      <c r="I13" s="11">
        <v>180</v>
      </c>
      <c r="J13" s="11">
        <v>89</v>
      </c>
      <c r="K13" s="11">
        <v>44</v>
      </c>
      <c r="L13" s="11">
        <f t="shared" si="0"/>
        <v>118.2</v>
      </c>
      <c r="M13" s="11">
        <v>117.1</v>
      </c>
      <c r="N13" s="11">
        <f t="shared" si="1"/>
        <v>1.1000000000000085</v>
      </c>
      <c r="O13" s="15">
        <v>1</v>
      </c>
      <c r="P13" s="11">
        <v>0</v>
      </c>
      <c r="Q13" s="15">
        <v>1</v>
      </c>
      <c r="R13" s="15">
        <v>1</v>
      </c>
      <c r="S13" s="15">
        <v>1</v>
      </c>
    </row>
    <row r="14" spans="1:19">
      <c r="A14" s="11">
        <v>65</v>
      </c>
      <c r="B14" s="15">
        <v>11</v>
      </c>
      <c r="C14" s="15">
        <v>1</v>
      </c>
      <c r="D14" s="15">
        <v>158.4</v>
      </c>
      <c r="E14" s="15">
        <v>46</v>
      </c>
      <c r="F14" s="15">
        <v>71</v>
      </c>
      <c r="G14" s="15">
        <v>106</v>
      </c>
      <c r="H14" s="15">
        <v>66</v>
      </c>
      <c r="I14" s="11">
        <v>288</v>
      </c>
      <c r="J14" s="11">
        <v>31</v>
      </c>
      <c r="K14" s="11">
        <v>67</v>
      </c>
      <c r="L14" s="11">
        <f t="shared" si="0"/>
        <v>214.8</v>
      </c>
      <c r="M14" s="11">
        <v>211</v>
      </c>
      <c r="N14" s="11">
        <f t="shared" si="1"/>
        <v>3.8000000000000114</v>
      </c>
      <c r="O14" s="15">
        <v>1</v>
      </c>
      <c r="P14" s="11">
        <v>0</v>
      </c>
      <c r="Q14" s="15">
        <v>1</v>
      </c>
      <c r="R14" s="15">
        <v>1</v>
      </c>
      <c r="S14" s="15">
        <v>1</v>
      </c>
    </row>
    <row r="15" spans="1:19">
      <c r="A15" s="11">
        <v>85</v>
      </c>
      <c r="B15" s="15">
        <v>11</v>
      </c>
      <c r="C15" s="15">
        <v>0</v>
      </c>
      <c r="D15" s="15">
        <v>136</v>
      </c>
      <c r="E15" s="15">
        <v>33</v>
      </c>
      <c r="F15" s="15"/>
      <c r="G15" s="15"/>
      <c r="H15" s="15"/>
      <c r="I15" s="11">
        <v>251</v>
      </c>
      <c r="J15" s="11">
        <v>78</v>
      </c>
      <c r="K15" s="11">
        <v>84</v>
      </c>
      <c r="L15" s="11">
        <f t="shared" si="0"/>
        <v>151.4</v>
      </c>
      <c r="M15" s="11">
        <v>148.9</v>
      </c>
      <c r="N15" s="11">
        <f t="shared" si="1"/>
        <v>2.5</v>
      </c>
      <c r="O15" s="15">
        <v>1</v>
      </c>
      <c r="P15" s="11">
        <v>0</v>
      </c>
      <c r="Q15" s="15">
        <v>0</v>
      </c>
      <c r="R15" s="15"/>
      <c r="S15" s="15"/>
    </row>
    <row r="16" spans="1:19">
      <c r="A16" s="11">
        <v>88</v>
      </c>
      <c r="B16" s="15">
        <v>11</v>
      </c>
      <c r="C16" s="15">
        <v>0</v>
      </c>
      <c r="D16" s="15">
        <v>140</v>
      </c>
      <c r="E16" s="15">
        <v>29.4</v>
      </c>
      <c r="F16" s="15">
        <v>75</v>
      </c>
      <c r="G16" s="15">
        <v>92</v>
      </c>
      <c r="H16" s="15">
        <v>54</v>
      </c>
      <c r="I16" s="11">
        <v>232</v>
      </c>
      <c r="J16" s="11">
        <v>129</v>
      </c>
      <c r="K16" s="11">
        <v>65</v>
      </c>
      <c r="L16" s="11">
        <f t="shared" si="0"/>
        <v>141.19999999999999</v>
      </c>
      <c r="M16" s="11">
        <v>141.69999999999999</v>
      </c>
      <c r="N16" s="11">
        <f t="shared" si="1"/>
        <v>-0.5</v>
      </c>
      <c r="O16" s="15">
        <v>0</v>
      </c>
      <c r="P16" s="11">
        <v>0</v>
      </c>
      <c r="Q16" s="15">
        <v>0</v>
      </c>
      <c r="R16" s="15"/>
      <c r="S16" s="15"/>
    </row>
    <row r="17" spans="1:19">
      <c r="A17" s="11">
        <v>98</v>
      </c>
      <c r="B17" s="15">
        <v>10</v>
      </c>
      <c r="C17" s="15">
        <v>0</v>
      </c>
      <c r="D17" s="15">
        <v>130</v>
      </c>
      <c r="E17" s="15">
        <v>28</v>
      </c>
      <c r="F17" s="15">
        <v>105</v>
      </c>
      <c r="G17" s="15">
        <v>105</v>
      </c>
      <c r="H17" s="15">
        <v>68</v>
      </c>
      <c r="I17" s="11">
        <v>259</v>
      </c>
      <c r="J17" s="11">
        <v>45</v>
      </c>
      <c r="K17" s="11">
        <v>51</v>
      </c>
      <c r="L17" s="11">
        <f t="shared" si="0"/>
        <v>199</v>
      </c>
      <c r="M17" s="11">
        <v>193.9</v>
      </c>
      <c r="N17" s="11">
        <f t="shared" si="1"/>
        <v>5.0999999999999943</v>
      </c>
      <c r="O17" s="16">
        <v>1</v>
      </c>
      <c r="P17" s="11">
        <v>0</v>
      </c>
      <c r="Q17" s="15">
        <v>1</v>
      </c>
      <c r="R17" s="15">
        <v>1</v>
      </c>
      <c r="S17" s="15">
        <v>1</v>
      </c>
    </row>
    <row r="18" spans="1:19">
      <c r="A18" s="11">
        <v>106</v>
      </c>
      <c r="B18" s="17">
        <v>12</v>
      </c>
      <c r="C18" s="17">
        <v>0</v>
      </c>
      <c r="D18" s="17">
        <v>154</v>
      </c>
      <c r="E18" s="17">
        <v>43.7</v>
      </c>
      <c r="F18" s="17">
        <v>92</v>
      </c>
      <c r="G18" s="17">
        <v>78</v>
      </c>
      <c r="H18" s="17">
        <v>57</v>
      </c>
      <c r="I18" s="11">
        <v>249</v>
      </c>
      <c r="J18" s="11">
        <v>31</v>
      </c>
      <c r="K18" s="11">
        <v>64</v>
      </c>
      <c r="L18" s="11">
        <f t="shared" si="0"/>
        <v>178.8</v>
      </c>
      <c r="M18" s="11">
        <v>175.6</v>
      </c>
      <c r="N18" s="11">
        <f t="shared" si="1"/>
        <v>3.2000000000000171</v>
      </c>
      <c r="O18" s="15">
        <v>1</v>
      </c>
      <c r="P18" s="11">
        <v>0</v>
      </c>
      <c r="Q18" s="15">
        <v>1</v>
      </c>
      <c r="R18" s="15">
        <v>1</v>
      </c>
      <c r="S18" s="15">
        <v>1</v>
      </c>
    </row>
    <row r="19" spans="1:19">
      <c r="A19" s="11">
        <v>108</v>
      </c>
      <c r="B19" s="15">
        <v>14</v>
      </c>
      <c r="C19" s="15">
        <v>1</v>
      </c>
      <c r="D19" s="15">
        <v>163</v>
      </c>
      <c r="E19" s="15">
        <v>58</v>
      </c>
      <c r="F19" s="15">
        <v>85</v>
      </c>
      <c r="G19" s="15">
        <v>125</v>
      </c>
      <c r="H19" s="15">
        <v>105</v>
      </c>
      <c r="I19" s="11">
        <v>255</v>
      </c>
      <c r="J19" s="11">
        <v>50</v>
      </c>
      <c r="K19" s="11">
        <v>62</v>
      </c>
      <c r="L19" s="11">
        <f t="shared" si="0"/>
        <v>183</v>
      </c>
      <c r="M19" s="11">
        <v>179.1</v>
      </c>
      <c r="N19" s="11">
        <f t="shared" si="1"/>
        <v>3.9000000000000057</v>
      </c>
      <c r="O19" s="15">
        <v>1</v>
      </c>
      <c r="P19" s="11">
        <v>0</v>
      </c>
      <c r="Q19" s="15">
        <v>1</v>
      </c>
      <c r="R19" s="15">
        <v>1</v>
      </c>
      <c r="S19" s="15">
        <v>1</v>
      </c>
    </row>
    <row r="20" spans="1:19">
      <c r="A20" s="11">
        <v>109</v>
      </c>
      <c r="B20" s="15">
        <v>10</v>
      </c>
      <c r="C20" s="15">
        <v>1</v>
      </c>
      <c r="D20" s="15">
        <v>141.30000000000001</v>
      </c>
      <c r="E20" s="15">
        <v>45.9</v>
      </c>
      <c r="F20" s="15">
        <v>75</v>
      </c>
      <c r="G20" s="15">
        <v>109</v>
      </c>
      <c r="H20" s="15"/>
      <c r="I20" s="11">
        <v>398</v>
      </c>
      <c r="J20" s="11">
        <v>37</v>
      </c>
      <c r="K20" s="11">
        <v>65</v>
      </c>
      <c r="L20" s="11">
        <f t="shared" si="0"/>
        <v>325.60000000000002</v>
      </c>
      <c r="M20" s="11">
        <v>321.10000000000002</v>
      </c>
      <c r="N20" s="11">
        <f t="shared" si="1"/>
        <v>4.5</v>
      </c>
      <c r="O20" s="15">
        <v>1</v>
      </c>
      <c r="P20" s="11">
        <v>0</v>
      </c>
      <c r="Q20" s="15">
        <v>1</v>
      </c>
      <c r="R20" s="15">
        <v>1</v>
      </c>
      <c r="S20" s="15">
        <v>1</v>
      </c>
    </row>
    <row r="21" spans="1:19">
      <c r="A21" s="11">
        <v>142</v>
      </c>
      <c r="B21" s="15">
        <v>10</v>
      </c>
      <c r="C21" s="15">
        <v>1</v>
      </c>
      <c r="D21" s="15">
        <v>139.5</v>
      </c>
      <c r="E21" s="15">
        <v>33.799999999999997</v>
      </c>
      <c r="F21" s="15">
        <v>60</v>
      </c>
      <c r="G21" s="15">
        <v>106</v>
      </c>
      <c r="H21" s="15">
        <v>49</v>
      </c>
      <c r="I21" s="11">
        <v>216</v>
      </c>
      <c r="J21" s="11">
        <v>28</v>
      </c>
      <c r="K21" s="11">
        <v>68</v>
      </c>
      <c r="L21" s="11">
        <f t="shared" si="0"/>
        <v>142.4</v>
      </c>
      <c r="M21" s="11">
        <v>139.5</v>
      </c>
      <c r="N21" s="11">
        <f t="shared" si="1"/>
        <v>2.9000000000000057</v>
      </c>
      <c r="O21" s="15">
        <v>1</v>
      </c>
      <c r="P21" s="11">
        <v>0</v>
      </c>
      <c r="Q21" s="15">
        <v>0</v>
      </c>
      <c r="R21" s="15"/>
      <c r="S21" s="15"/>
    </row>
    <row r="22" spans="1:19">
      <c r="A22" s="11">
        <v>155</v>
      </c>
      <c r="B22" s="15">
        <v>10</v>
      </c>
      <c r="C22" s="15">
        <v>1</v>
      </c>
      <c r="D22" s="15">
        <v>132.80000000000001</v>
      </c>
      <c r="E22" s="15">
        <v>41.2</v>
      </c>
      <c r="F22" s="15">
        <v>93</v>
      </c>
      <c r="G22" s="15">
        <v>90</v>
      </c>
      <c r="H22" s="15">
        <v>61</v>
      </c>
      <c r="I22" s="11">
        <v>206</v>
      </c>
      <c r="J22" s="11">
        <v>255</v>
      </c>
      <c r="K22" s="11">
        <v>40</v>
      </c>
      <c r="L22" s="11">
        <f t="shared" si="0"/>
        <v>115</v>
      </c>
      <c r="M22" s="11">
        <v>126.8</v>
      </c>
      <c r="N22" s="11">
        <f t="shared" si="1"/>
        <v>-11.799999999999997</v>
      </c>
      <c r="O22" s="15">
        <v>0</v>
      </c>
      <c r="P22" s="11">
        <v>0</v>
      </c>
      <c r="Q22" s="15">
        <v>0</v>
      </c>
      <c r="R22" s="15"/>
      <c r="S22" s="15"/>
    </row>
    <row r="23" spans="1:19">
      <c r="A23" s="11">
        <v>170</v>
      </c>
      <c r="B23" s="15">
        <v>11</v>
      </c>
      <c r="C23" s="15">
        <v>1</v>
      </c>
      <c r="D23" s="15">
        <v>132.19999999999999</v>
      </c>
      <c r="E23" s="15">
        <v>26.6</v>
      </c>
      <c r="F23" s="15">
        <v>93</v>
      </c>
      <c r="G23" s="15">
        <v>98</v>
      </c>
      <c r="H23" s="15">
        <v>62</v>
      </c>
      <c r="I23" s="11">
        <v>236</v>
      </c>
      <c r="J23" s="11">
        <v>63</v>
      </c>
      <c r="K23" s="11">
        <v>69</v>
      </c>
      <c r="L23" s="11">
        <f t="shared" si="0"/>
        <v>154.4</v>
      </c>
      <c r="M23" s="11">
        <v>151.30000000000001</v>
      </c>
      <c r="N23" s="11">
        <f t="shared" si="1"/>
        <v>3.0999999999999943</v>
      </c>
      <c r="O23" s="15">
        <v>1</v>
      </c>
      <c r="P23" s="11">
        <v>0</v>
      </c>
      <c r="Q23" s="15">
        <v>1</v>
      </c>
      <c r="R23" s="15">
        <v>1</v>
      </c>
      <c r="S23" s="15">
        <v>1</v>
      </c>
    </row>
    <row r="24" spans="1:19">
      <c r="A24" s="11">
        <v>171</v>
      </c>
      <c r="B24" s="15">
        <v>8</v>
      </c>
      <c r="C24" s="15">
        <v>0</v>
      </c>
      <c r="D24" s="15">
        <v>128.19999999999999</v>
      </c>
      <c r="E24" s="15">
        <v>38.6</v>
      </c>
      <c r="F24" s="15">
        <v>56</v>
      </c>
      <c r="G24" s="15">
        <v>93</v>
      </c>
      <c r="H24" s="15">
        <v>65</v>
      </c>
      <c r="I24" s="11">
        <v>249</v>
      </c>
      <c r="J24" s="11">
        <v>68</v>
      </c>
      <c r="K24" s="11">
        <v>91</v>
      </c>
      <c r="L24" s="11">
        <f t="shared" si="0"/>
        <v>144.4</v>
      </c>
      <c r="M24" s="11">
        <v>142.19999999999999</v>
      </c>
      <c r="N24" s="11">
        <f t="shared" si="1"/>
        <v>2.2000000000000171</v>
      </c>
      <c r="O24" s="15">
        <v>1</v>
      </c>
      <c r="P24" s="11">
        <v>0</v>
      </c>
      <c r="Q24" s="15">
        <v>1</v>
      </c>
      <c r="R24" s="15">
        <v>1</v>
      </c>
      <c r="S24" s="15">
        <v>1</v>
      </c>
    </row>
    <row r="25" spans="1:19">
      <c r="A25" s="18">
        <v>179</v>
      </c>
      <c r="B25" s="19">
        <v>10</v>
      </c>
      <c r="C25" s="19">
        <v>1</v>
      </c>
      <c r="D25" s="19">
        <v>143.5</v>
      </c>
      <c r="E25" s="19">
        <v>39.1</v>
      </c>
      <c r="F25" s="19">
        <v>87</v>
      </c>
      <c r="G25" s="19">
        <v>96</v>
      </c>
      <c r="H25" s="19">
        <v>65</v>
      </c>
      <c r="I25" s="18">
        <v>201</v>
      </c>
      <c r="J25" s="18">
        <v>186</v>
      </c>
      <c r="K25" s="18">
        <v>45</v>
      </c>
      <c r="L25" s="11">
        <f t="shared" si="0"/>
        <v>118.8</v>
      </c>
      <c r="M25" s="18">
        <v>126</v>
      </c>
      <c r="N25" s="11">
        <f t="shared" si="1"/>
        <v>-7.2000000000000028</v>
      </c>
      <c r="O25" s="19">
        <v>0</v>
      </c>
      <c r="P25" s="18">
        <v>0</v>
      </c>
      <c r="Q25" s="19">
        <v>0</v>
      </c>
      <c r="R25" s="19"/>
      <c r="S25" s="19"/>
    </row>
    <row r="26" spans="1:19">
      <c r="A26" s="11">
        <v>180</v>
      </c>
      <c r="B26" s="15">
        <v>10</v>
      </c>
      <c r="C26" s="15">
        <v>0</v>
      </c>
      <c r="D26" s="15">
        <v>132.9</v>
      </c>
      <c r="E26" s="15">
        <v>31</v>
      </c>
      <c r="F26" s="15">
        <v>108</v>
      </c>
      <c r="G26" s="15">
        <v>83</v>
      </c>
      <c r="H26" s="15">
        <v>52</v>
      </c>
      <c r="I26" s="11">
        <v>210</v>
      </c>
      <c r="J26" s="11">
        <v>79</v>
      </c>
      <c r="K26" s="11">
        <v>51</v>
      </c>
      <c r="L26" s="11">
        <f t="shared" si="0"/>
        <v>143.19999999999999</v>
      </c>
      <c r="M26" s="11">
        <v>141.4</v>
      </c>
      <c r="N26" s="11">
        <f t="shared" si="1"/>
        <v>1.7999999999999829</v>
      </c>
      <c r="O26" s="15">
        <v>1</v>
      </c>
      <c r="P26" s="11">
        <v>0</v>
      </c>
      <c r="Q26" s="15">
        <v>0</v>
      </c>
      <c r="R26" s="15"/>
      <c r="S26" s="15"/>
    </row>
    <row r="27" spans="1:19">
      <c r="A27" s="11">
        <v>187</v>
      </c>
      <c r="B27" s="15">
        <v>11</v>
      </c>
      <c r="C27" s="15">
        <v>0</v>
      </c>
      <c r="D27" s="15">
        <v>141.4</v>
      </c>
      <c r="E27" s="15">
        <v>29.6</v>
      </c>
      <c r="F27" s="15">
        <v>91</v>
      </c>
      <c r="G27" s="15">
        <v>89</v>
      </c>
      <c r="H27" s="15">
        <v>55</v>
      </c>
      <c r="I27" s="11">
        <v>183</v>
      </c>
      <c r="J27" s="11">
        <v>250</v>
      </c>
      <c r="K27" s="11">
        <v>52</v>
      </c>
      <c r="L27" s="11">
        <f t="shared" si="0"/>
        <v>81</v>
      </c>
      <c r="M27" s="11">
        <v>95.3</v>
      </c>
      <c r="N27" s="11">
        <f t="shared" si="1"/>
        <v>-14.299999999999997</v>
      </c>
      <c r="O27" s="15">
        <v>0</v>
      </c>
      <c r="P27" s="11">
        <v>0</v>
      </c>
      <c r="Q27" s="15">
        <v>0</v>
      </c>
      <c r="R27" s="15"/>
      <c r="S27" s="15"/>
    </row>
    <row r="28" spans="1:19">
      <c r="A28" s="11">
        <v>188</v>
      </c>
      <c r="B28" s="15">
        <v>11</v>
      </c>
      <c r="C28" s="15">
        <v>1</v>
      </c>
      <c r="D28" s="15">
        <v>151</v>
      </c>
      <c r="E28" s="15">
        <v>54.2</v>
      </c>
      <c r="F28" s="15"/>
      <c r="G28" s="15"/>
      <c r="H28" s="15"/>
      <c r="I28" s="11">
        <v>344</v>
      </c>
      <c r="J28" s="11">
        <v>118</v>
      </c>
      <c r="K28" s="11">
        <v>42</v>
      </c>
      <c r="L28" s="11">
        <f t="shared" si="0"/>
        <v>278.39999999999998</v>
      </c>
      <c r="M28" s="11">
        <v>276.3</v>
      </c>
      <c r="N28" s="11">
        <f t="shared" si="1"/>
        <v>2.0999999999999659</v>
      </c>
      <c r="O28" s="15">
        <v>1</v>
      </c>
      <c r="P28" s="11">
        <v>0</v>
      </c>
      <c r="Q28" s="15">
        <v>1</v>
      </c>
      <c r="R28" s="15">
        <v>1</v>
      </c>
      <c r="S28" s="15">
        <v>1</v>
      </c>
    </row>
    <row r="29" spans="1:19">
      <c r="A29" s="11">
        <v>192</v>
      </c>
      <c r="B29" s="15">
        <v>11</v>
      </c>
      <c r="C29" s="15">
        <v>1</v>
      </c>
      <c r="D29" s="15">
        <v>143.9</v>
      </c>
      <c r="E29" s="15">
        <v>42</v>
      </c>
      <c r="F29" s="15">
        <v>79</v>
      </c>
      <c r="G29" s="15">
        <v>105</v>
      </c>
      <c r="H29" s="15">
        <v>53</v>
      </c>
      <c r="I29" s="11">
        <v>219</v>
      </c>
      <c r="J29" s="11">
        <v>237</v>
      </c>
      <c r="K29" s="11">
        <v>41</v>
      </c>
      <c r="L29" s="11">
        <f t="shared" si="0"/>
        <v>130.6</v>
      </c>
      <c r="M29" s="11">
        <v>139.80000000000001</v>
      </c>
      <c r="N29" s="11">
        <f t="shared" si="1"/>
        <v>-9.2000000000000171</v>
      </c>
      <c r="O29" s="15">
        <v>0</v>
      </c>
      <c r="P29" s="11">
        <v>0</v>
      </c>
      <c r="Q29" s="15">
        <v>0</v>
      </c>
      <c r="R29" s="15"/>
      <c r="S29" s="15"/>
    </row>
    <row r="30" spans="1:19">
      <c r="A30" s="11">
        <v>200</v>
      </c>
      <c r="B30" s="15">
        <v>10</v>
      </c>
      <c r="C30" s="15">
        <v>0</v>
      </c>
      <c r="D30" s="15">
        <v>142.30000000000001</v>
      </c>
      <c r="E30" s="15">
        <v>34.6</v>
      </c>
      <c r="F30" s="15"/>
      <c r="G30" s="15">
        <v>95</v>
      </c>
      <c r="H30" s="15">
        <v>54</v>
      </c>
      <c r="I30" s="11">
        <v>237</v>
      </c>
      <c r="J30" s="11">
        <v>82</v>
      </c>
      <c r="K30" s="11">
        <v>46</v>
      </c>
      <c r="L30" s="11">
        <f t="shared" si="0"/>
        <v>174.6</v>
      </c>
      <c r="M30" s="11">
        <v>171.9</v>
      </c>
      <c r="N30" s="11">
        <f t="shared" si="1"/>
        <v>2.6999999999999886</v>
      </c>
      <c r="O30" s="15">
        <v>1</v>
      </c>
      <c r="P30" s="11">
        <v>0</v>
      </c>
      <c r="Q30" s="15">
        <v>1</v>
      </c>
      <c r="R30" s="15">
        <v>1</v>
      </c>
      <c r="S30" s="15">
        <v>1</v>
      </c>
    </row>
    <row r="31" spans="1:19">
      <c r="A31" s="11">
        <v>204</v>
      </c>
      <c r="B31" s="15">
        <v>10</v>
      </c>
      <c r="C31" s="15">
        <v>0</v>
      </c>
      <c r="D31" s="15">
        <v>139.6</v>
      </c>
      <c r="E31" s="15">
        <v>44.3</v>
      </c>
      <c r="F31" s="15">
        <v>96</v>
      </c>
      <c r="G31" s="15">
        <v>86</v>
      </c>
      <c r="H31" s="15">
        <v>57</v>
      </c>
      <c r="I31" s="11">
        <v>201</v>
      </c>
      <c r="J31" s="11">
        <v>155</v>
      </c>
      <c r="K31" s="11">
        <v>35</v>
      </c>
      <c r="L31" s="11">
        <f t="shared" si="0"/>
        <v>135</v>
      </c>
      <c r="M31" s="11">
        <v>137.30000000000001</v>
      </c>
      <c r="N31" s="11">
        <f t="shared" si="1"/>
        <v>-2.3000000000000114</v>
      </c>
      <c r="O31" s="15">
        <v>0</v>
      </c>
      <c r="P31" s="11">
        <v>0</v>
      </c>
      <c r="Q31" s="15">
        <v>0</v>
      </c>
      <c r="R31" s="11"/>
      <c r="S31" s="15"/>
    </row>
    <row r="32" spans="1:19">
      <c r="A32" s="11">
        <v>205</v>
      </c>
      <c r="B32" s="15">
        <v>11</v>
      </c>
      <c r="C32" s="15">
        <v>0</v>
      </c>
      <c r="D32" s="15">
        <v>145</v>
      </c>
      <c r="E32" s="15">
        <v>38</v>
      </c>
      <c r="F32" s="15"/>
      <c r="G32" s="15"/>
      <c r="H32" s="15"/>
      <c r="I32" s="11">
        <v>216</v>
      </c>
      <c r="J32" s="11">
        <v>112</v>
      </c>
      <c r="K32" s="11">
        <v>69</v>
      </c>
      <c r="L32" s="11">
        <f t="shared" si="0"/>
        <v>124.6</v>
      </c>
      <c r="M32" s="11">
        <v>125</v>
      </c>
      <c r="N32" s="11">
        <f t="shared" si="1"/>
        <v>-0.40000000000000568</v>
      </c>
      <c r="O32" s="15">
        <v>0</v>
      </c>
      <c r="P32" s="11">
        <v>0</v>
      </c>
      <c r="Q32" s="15">
        <v>0</v>
      </c>
      <c r="R32" s="15"/>
      <c r="S32" s="15"/>
    </row>
    <row r="33" spans="1:19">
      <c r="A33" s="11">
        <v>206</v>
      </c>
      <c r="B33" s="15">
        <v>9</v>
      </c>
      <c r="C33" s="15">
        <v>0</v>
      </c>
      <c r="D33" s="15">
        <v>130</v>
      </c>
      <c r="E33" s="15">
        <v>29.3</v>
      </c>
      <c r="F33" s="15"/>
      <c r="G33" s="15"/>
      <c r="H33" s="15"/>
      <c r="I33" s="11">
        <v>245</v>
      </c>
      <c r="J33" s="11">
        <v>92</v>
      </c>
      <c r="K33" s="11">
        <v>65</v>
      </c>
      <c r="L33" s="11">
        <f t="shared" si="0"/>
        <v>161.6</v>
      </c>
      <c r="M33" s="11">
        <v>160</v>
      </c>
      <c r="N33" s="11">
        <f t="shared" si="1"/>
        <v>1.5999999999999943</v>
      </c>
      <c r="O33" s="15">
        <v>1</v>
      </c>
      <c r="P33" s="11">
        <v>0</v>
      </c>
      <c r="Q33" s="15">
        <v>0</v>
      </c>
      <c r="R33" s="15"/>
      <c r="S33" s="15"/>
    </row>
    <row r="34" spans="1:19">
      <c r="A34" s="11">
        <v>212</v>
      </c>
      <c r="B34" s="15">
        <v>10</v>
      </c>
      <c r="C34" s="15">
        <v>1</v>
      </c>
      <c r="D34" s="15">
        <v>131.4</v>
      </c>
      <c r="E34" s="15">
        <v>25.1</v>
      </c>
      <c r="F34" s="15">
        <v>81</v>
      </c>
      <c r="G34" s="15">
        <v>103</v>
      </c>
      <c r="H34" s="15">
        <v>67</v>
      </c>
      <c r="I34" s="11">
        <v>295</v>
      </c>
      <c r="J34" s="11">
        <v>169</v>
      </c>
      <c r="K34" s="11">
        <v>77</v>
      </c>
      <c r="L34" s="11">
        <f t="shared" ref="L34:L65" si="2">I34-K34-J34/5</f>
        <v>184.2</v>
      </c>
      <c r="M34" s="11">
        <v>186.1</v>
      </c>
      <c r="N34" s="11">
        <f t="shared" ref="N34:N65" si="3">L34-M34</f>
        <v>-1.9000000000000057</v>
      </c>
      <c r="O34" s="15">
        <v>0</v>
      </c>
      <c r="P34" s="11">
        <v>0</v>
      </c>
      <c r="Q34" s="15">
        <v>1</v>
      </c>
      <c r="R34" s="15">
        <v>1</v>
      </c>
      <c r="S34" s="15">
        <v>1</v>
      </c>
    </row>
    <row r="35" spans="1:19">
      <c r="A35" s="11">
        <v>222</v>
      </c>
      <c r="B35" s="11">
        <v>10</v>
      </c>
      <c r="C35" s="11">
        <v>0</v>
      </c>
      <c r="D35" s="11">
        <v>135</v>
      </c>
      <c r="E35" s="11">
        <v>27</v>
      </c>
      <c r="F35" s="11">
        <v>85</v>
      </c>
      <c r="G35" s="11">
        <v>84</v>
      </c>
      <c r="H35" s="11">
        <v>58</v>
      </c>
      <c r="I35" s="11">
        <v>399</v>
      </c>
      <c r="J35" s="11">
        <v>83</v>
      </c>
      <c r="K35" s="11">
        <v>58</v>
      </c>
      <c r="L35" s="11">
        <f t="shared" si="2"/>
        <v>324.39999999999998</v>
      </c>
      <c r="M35" s="11">
        <v>321.2</v>
      </c>
      <c r="N35" s="11">
        <f t="shared" si="3"/>
        <v>3.1999999999999886</v>
      </c>
      <c r="O35" s="15">
        <v>1</v>
      </c>
      <c r="P35" s="11">
        <v>0</v>
      </c>
      <c r="Q35" s="11">
        <v>1</v>
      </c>
      <c r="R35" s="11">
        <v>1</v>
      </c>
      <c r="S35" s="11">
        <v>1</v>
      </c>
    </row>
    <row r="36" spans="1:19">
      <c r="A36" s="11">
        <v>224</v>
      </c>
      <c r="B36" s="15">
        <v>10</v>
      </c>
      <c r="C36" s="15">
        <v>0</v>
      </c>
      <c r="D36" s="15">
        <v>150</v>
      </c>
      <c r="E36" s="15">
        <v>40</v>
      </c>
      <c r="F36" s="15">
        <v>77</v>
      </c>
      <c r="G36" s="15">
        <v>95</v>
      </c>
      <c r="H36" s="15">
        <v>52</v>
      </c>
      <c r="I36" s="11">
        <v>245</v>
      </c>
      <c r="J36" s="11">
        <v>89</v>
      </c>
      <c r="K36" s="11">
        <v>65</v>
      </c>
      <c r="L36" s="11">
        <f t="shared" si="2"/>
        <v>162.19999999999999</v>
      </c>
      <c r="M36" s="11">
        <v>160.69999999999999</v>
      </c>
      <c r="N36" s="11">
        <f t="shared" si="3"/>
        <v>1.5</v>
      </c>
      <c r="O36" s="15">
        <v>1</v>
      </c>
      <c r="P36" s="11">
        <v>0</v>
      </c>
      <c r="Q36" s="15">
        <v>1</v>
      </c>
      <c r="R36" s="15">
        <v>1</v>
      </c>
      <c r="S36" s="15">
        <v>1</v>
      </c>
    </row>
    <row r="37" spans="1:19">
      <c r="A37" s="11">
        <v>231</v>
      </c>
      <c r="B37" s="15">
        <v>10</v>
      </c>
      <c r="C37" s="15">
        <v>0</v>
      </c>
      <c r="D37" s="15">
        <v>132.1</v>
      </c>
      <c r="E37" s="15">
        <v>26.4</v>
      </c>
      <c r="F37" s="15">
        <v>73</v>
      </c>
      <c r="G37" s="15">
        <v>77</v>
      </c>
      <c r="H37" s="15">
        <v>50</v>
      </c>
      <c r="I37" s="11">
        <v>221</v>
      </c>
      <c r="J37" s="11">
        <v>121</v>
      </c>
      <c r="K37" s="11">
        <v>71</v>
      </c>
      <c r="L37" s="11">
        <f t="shared" si="2"/>
        <v>125.8</v>
      </c>
      <c r="M37" s="11">
        <v>127.2</v>
      </c>
      <c r="N37" s="11">
        <f t="shared" si="3"/>
        <v>-1.4000000000000057</v>
      </c>
      <c r="O37" s="15">
        <v>0</v>
      </c>
      <c r="P37" s="11">
        <v>0</v>
      </c>
      <c r="Q37" s="15">
        <v>0</v>
      </c>
      <c r="R37" s="15"/>
      <c r="S37" s="15"/>
    </row>
    <row r="38" spans="1:19">
      <c r="A38" s="11">
        <v>232</v>
      </c>
      <c r="B38" s="15">
        <v>9</v>
      </c>
      <c r="C38" s="15">
        <v>0</v>
      </c>
      <c r="D38" s="15">
        <v>121</v>
      </c>
      <c r="E38" s="15">
        <v>32</v>
      </c>
      <c r="F38" s="15">
        <v>126</v>
      </c>
      <c r="G38" s="15">
        <v>100</v>
      </c>
      <c r="H38" s="15">
        <v>70</v>
      </c>
      <c r="I38" s="11">
        <v>197</v>
      </c>
      <c r="J38" s="11">
        <v>117</v>
      </c>
      <c r="K38" s="11">
        <v>52</v>
      </c>
      <c r="L38" s="11">
        <f t="shared" si="2"/>
        <v>121.6</v>
      </c>
      <c r="M38" s="11">
        <v>122.5</v>
      </c>
      <c r="N38" s="11">
        <f t="shared" si="3"/>
        <v>-0.90000000000000568</v>
      </c>
      <c r="O38" s="15">
        <v>0</v>
      </c>
      <c r="P38" s="11">
        <v>0</v>
      </c>
      <c r="Q38" s="15">
        <v>1</v>
      </c>
      <c r="R38" s="15">
        <v>2</v>
      </c>
      <c r="S38" s="15">
        <v>1</v>
      </c>
    </row>
    <row r="39" spans="1:19">
      <c r="A39" s="11">
        <v>247</v>
      </c>
      <c r="B39" s="15">
        <v>10</v>
      </c>
      <c r="C39" s="15">
        <v>1</v>
      </c>
      <c r="D39" s="15">
        <v>139.30000000000001</v>
      </c>
      <c r="E39" s="15">
        <v>28</v>
      </c>
      <c r="F39" s="15">
        <v>91</v>
      </c>
      <c r="G39" s="15">
        <v>87</v>
      </c>
      <c r="H39" s="15">
        <v>67</v>
      </c>
      <c r="I39" s="11">
        <v>214</v>
      </c>
      <c r="J39" s="11">
        <v>104</v>
      </c>
      <c r="K39" s="11">
        <v>54</v>
      </c>
      <c r="L39" s="11">
        <f t="shared" si="2"/>
        <v>139.19999999999999</v>
      </c>
      <c r="M39" s="11">
        <v>137.9</v>
      </c>
      <c r="N39" s="11">
        <f t="shared" si="3"/>
        <v>1.2999999999999829</v>
      </c>
      <c r="O39" s="15">
        <v>1</v>
      </c>
      <c r="P39" s="11">
        <v>0</v>
      </c>
      <c r="Q39" s="15">
        <v>0</v>
      </c>
      <c r="R39" s="15"/>
      <c r="S39" s="15"/>
    </row>
    <row r="40" spans="1:19">
      <c r="A40" s="11">
        <v>248</v>
      </c>
      <c r="B40" s="15">
        <v>10</v>
      </c>
      <c r="C40" s="15">
        <v>1</v>
      </c>
      <c r="D40" s="15">
        <v>136.80000000000001</v>
      </c>
      <c r="E40" s="15">
        <v>38.299999999999997</v>
      </c>
      <c r="F40" s="15">
        <v>83</v>
      </c>
      <c r="G40" s="15">
        <v>90</v>
      </c>
      <c r="H40" s="15">
        <v>53</v>
      </c>
      <c r="I40" s="11">
        <v>251</v>
      </c>
      <c r="J40" s="11">
        <v>175</v>
      </c>
      <c r="K40" s="11">
        <v>52</v>
      </c>
      <c r="L40" s="11">
        <f t="shared" si="2"/>
        <v>164</v>
      </c>
      <c r="M40" s="11">
        <v>166.6</v>
      </c>
      <c r="N40" s="11">
        <f t="shared" si="3"/>
        <v>-2.5999999999999943</v>
      </c>
      <c r="O40" s="15">
        <v>0</v>
      </c>
      <c r="P40" s="11">
        <v>0</v>
      </c>
      <c r="Q40" s="15">
        <v>0</v>
      </c>
      <c r="R40" s="15"/>
      <c r="S40" s="15"/>
    </row>
    <row r="41" spans="1:19">
      <c r="A41" s="11">
        <v>252</v>
      </c>
      <c r="B41" s="15">
        <v>12</v>
      </c>
      <c r="C41" s="15">
        <v>1</v>
      </c>
      <c r="D41" s="15"/>
      <c r="E41" s="15"/>
      <c r="F41" s="15"/>
      <c r="G41" s="15"/>
      <c r="H41" s="15"/>
      <c r="I41" s="11">
        <v>273</v>
      </c>
      <c r="J41" s="11">
        <v>55</v>
      </c>
      <c r="K41" s="11">
        <v>72</v>
      </c>
      <c r="L41" s="11">
        <f t="shared" si="2"/>
        <v>190</v>
      </c>
      <c r="M41" s="11">
        <v>185.7</v>
      </c>
      <c r="N41" s="11">
        <f t="shared" si="3"/>
        <v>4.3000000000000114</v>
      </c>
      <c r="O41" s="15">
        <v>1</v>
      </c>
      <c r="P41" s="11">
        <v>0</v>
      </c>
      <c r="Q41" s="15">
        <v>1</v>
      </c>
      <c r="R41" s="15">
        <v>2</v>
      </c>
      <c r="S41" s="15">
        <v>1</v>
      </c>
    </row>
    <row r="42" spans="1:19">
      <c r="A42" s="11">
        <v>264</v>
      </c>
      <c r="B42" s="15">
        <v>10</v>
      </c>
      <c r="C42" s="15">
        <v>1</v>
      </c>
      <c r="D42" s="15">
        <v>143.1</v>
      </c>
      <c r="E42" s="15">
        <v>40.799999999999997</v>
      </c>
      <c r="F42" s="15">
        <v>83</v>
      </c>
      <c r="G42" s="15">
        <v>94</v>
      </c>
      <c r="H42" s="15">
        <v>61</v>
      </c>
      <c r="I42" s="11">
        <v>207</v>
      </c>
      <c r="J42" s="11">
        <v>159</v>
      </c>
      <c r="K42" s="11">
        <v>49</v>
      </c>
      <c r="L42" s="11">
        <f t="shared" si="2"/>
        <v>126.2</v>
      </c>
      <c r="M42" s="11">
        <v>130.6</v>
      </c>
      <c r="N42" s="11">
        <f t="shared" si="3"/>
        <v>-4.3999999999999915</v>
      </c>
      <c r="O42" s="15">
        <v>0</v>
      </c>
      <c r="P42" s="11">
        <v>0</v>
      </c>
      <c r="Q42" s="15">
        <v>0</v>
      </c>
      <c r="R42" s="15"/>
      <c r="S42" s="15"/>
    </row>
    <row r="43" spans="1:19">
      <c r="A43" s="11">
        <v>276</v>
      </c>
      <c r="B43" s="11">
        <v>12</v>
      </c>
      <c r="C43" s="11">
        <v>1</v>
      </c>
      <c r="D43" s="11">
        <v>147.9</v>
      </c>
      <c r="E43" s="11">
        <v>45.3</v>
      </c>
      <c r="F43" s="11"/>
      <c r="G43" s="11"/>
      <c r="H43" s="11"/>
      <c r="I43" s="11">
        <v>194</v>
      </c>
      <c r="J43" s="11">
        <v>43</v>
      </c>
      <c r="K43" s="11">
        <v>74</v>
      </c>
      <c r="L43" s="11">
        <f t="shared" si="2"/>
        <v>111.4</v>
      </c>
      <c r="M43" s="11">
        <v>107.4</v>
      </c>
      <c r="N43" s="11">
        <f t="shared" si="3"/>
        <v>4</v>
      </c>
      <c r="O43" s="15">
        <v>1</v>
      </c>
      <c r="P43" s="11">
        <v>0</v>
      </c>
      <c r="Q43" s="11">
        <v>0</v>
      </c>
      <c r="R43" s="11"/>
      <c r="S43" s="11"/>
    </row>
    <row r="44" spans="1:19">
      <c r="A44" s="11">
        <v>279</v>
      </c>
      <c r="B44" s="15">
        <v>10</v>
      </c>
      <c r="C44" s="15">
        <v>0</v>
      </c>
      <c r="D44" s="15">
        <v>144.1</v>
      </c>
      <c r="E44" s="15">
        <v>40.6</v>
      </c>
      <c r="F44" s="15"/>
      <c r="G44" s="15"/>
      <c r="H44" s="15"/>
      <c r="I44" s="11">
        <v>257</v>
      </c>
      <c r="J44" s="11">
        <v>71</v>
      </c>
      <c r="K44" s="11">
        <v>54</v>
      </c>
      <c r="L44" s="11">
        <f t="shared" si="2"/>
        <v>188.8</v>
      </c>
      <c r="M44" s="11">
        <v>185.7</v>
      </c>
      <c r="N44" s="11">
        <f t="shared" si="3"/>
        <v>3.1000000000000227</v>
      </c>
      <c r="O44" s="15">
        <v>1</v>
      </c>
      <c r="P44" s="11">
        <v>0</v>
      </c>
      <c r="Q44" s="15">
        <v>1</v>
      </c>
      <c r="R44" s="21">
        <v>1</v>
      </c>
      <c r="S44" s="15">
        <v>1</v>
      </c>
    </row>
    <row r="45" spans="1:19">
      <c r="A45" s="11">
        <v>281</v>
      </c>
      <c r="B45" s="15">
        <v>10</v>
      </c>
      <c r="C45" s="15">
        <v>0</v>
      </c>
      <c r="D45" s="15">
        <v>148.4</v>
      </c>
      <c r="E45" s="15">
        <v>43.5</v>
      </c>
      <c r="F45" s="15">
        <v>97</v>
      </c>
      <c r="G45" s="15">
        <v>113</v>
      </c>
      <c r="H45" s="15">
        <v>64</v>
      </c>
      <c r="I45" s="11">
        <v>268</v>
      </c>
      <c r="J45" s="11">
        <v>181</v>
      </c>
      <c r="K45" s="11">
        <v>51</v>
      </c>
      <c r="L45" s="11">
        <f t="shared" si="2"/>
        <v>180.8</v>
      </c>
      <c r="M45" s="11">
        <v>183.5</v>
      </c>
      <c r="N45" s="11">
        <f t="shared" si="3"/>
        <v>-2.6999999999999886</v>
      </c>
      <c r="O45" s="15">
        <v>0</v>
      </c>
      <c r="P45" s="11">
        <v>0</v>
      </c>
      <c r="Q45" s="15">
        <v>0</v>
      </c>
      <c r="R45" s="15"/>
      <c r="S45" s="15"/>
    </row>
    <row r="46" spans="1:19">
      <c r="A46" s="11">
        <v>291</v>
      </c>
      <c r="B46" s="11">
        <v>10</v>
      </c>
      <c r="C46" s="11">
        <v>0</v>
      </c>
      <c r="D46" s="11">
        <v>144.1</v>
      </c>
      <c r="E46" s="11">
        <v>46.2</v>
      </c>
      <c r="F46" s="11"/>
      <c r="G46" s="11"/>
      <c r="H46" s="11"/>
      <c r="I46" s="11">
        <v>206</v>
      </c>
      <c r="J46" s="11">
        <v>161</v>
      </c>
      <c r="K46" s="11">
        <v>44</v>
      </c>
      <c r="L46" s="11">
        <f t="shared" si="2"/>
        <v>129.80000000000001</v>
      </c>
      <c r="M46" s="11">
        <v>132.19999999999999</v>
      </c>
      <c r="N46" s="11">
        <f t="shared" si="3"/>
        <v>-2.3999999999999773</v>
      </c>
      <c r="O46" s="15">
        <v>0</v>
      </c>
      <c r="P46" s="11">
        <v>0</v>
      </c>
      <c r="Q46" s="11">
        <v>0</v>
      </c>
      <c r="R46" s="15"/>
      <c r="S46" s="11"/>
    </row>
    <row r="47" spans="1:19">
      <c r="A47" s="11">
        <v>292</v>
      </c>
      <c r="B47" s="11">
        <v>13</v>
      </c>
      <c r="C47" s="11">
        <v>0</v>
      </c>
      <c r="D47" s="11">
        <v>151.6</v>
      </c>
      <c r="E47" s="11">
        <v>50.6</v>
      </c>
      <c r="F47" s="11"/>
      <c r="G47" s="11"/>
      <c r="H47" s="11"/>
      <c r="I47" s="11">
        <v>146</v>
      </c>
      <c r="J47" s="11">
        <v>39</v>
      </c>
      <c r="K47" s="11">
        <v>35</v>
      </c>
      <c r="L47" s="11">
        <f t="shared" si="2"/>
        <v>103.2</v>
      </c>
      <c r="M47" s="11">
        <v>99.5</v>
      </c>
      <c r="N47" s="11">
        <f t="shared" si="3"/>
        <v>3.7000000000000028</v>
      </c>
      <c r="O47" s="15">
        <v>1</v>
      </c>
      <c r="P47" s="11">
        <v>0</v>
      </c>
      <c r="Q47" s="11">
        <v>0</v>
      </c>
      <c r="R47" s="11"/>
      <c r="S47" s="11"/>
    </row>
    <row r="48" spans="1:19">
      <c r="A48" s="11">
        <v>295</v>
      </c>
      <c r="B48" s="11">
        <v>11</v>
      </c>
      <c r="C48" s="11">
        <v>1</v>
      </c>
      <c r="D48" s="11">
        <v>138.30000000000001</v>
      </c>
      <c r="E48" s="11">
        <v>30.9</v>
      </c>
      <c r="F48" s="11"/>
      <c r="G48" s="11"/>
      <c r="H48" s="11"/>
      <c r="I48" s="11">
        <v>205</v>
      </c>
      <c r="J48" s="11">
        <v>55</v>
      </c>
      <c r="K48" s="11">
        <v>56</v>
      </c>
      <c r="L48" s="11">
        <f t="shared" si="2"/>
        <v>138</v>
      </c>
      <c r="M48" s="11">
        <v>134.1</v>
      </c>
      <c r="N48" s="11">
        <f t="shared" si="3"/>
        <v>3.9000000000000057</v>
      </c>
      <c r="O48" s="15">
        <v>1</v>
      </c>
      <c r="P48" s="11">
        <v>0</v>
      </c>
      <c r="Q48" s="11">
        <v>1</v>
      </c>
      <c r="R48" s="11">
        <v>1</v>
      </c>
      <c r="S48" s="11">
        <v>1</v>
      </c>
    </row>
    <row r="49" spans="1:19">
      <c r="A49" s="11">
        <v>299</v>
      </c>
      <c r="B49" s="11">
        <v>10</v>
      </c>
      <c r="C49" s="11">
        <v>0</v>
      </c>
      <c r="D49" s="11">
        <v>141.5</v>
      </c>
      <c r="E49" s="11">
        <v>34.5</v>
      </c>
      <c r="F49" s="11">
        <v>91</v>
      </c>
      <c r="G49" s="11">
        <v>135</v>
      </c>
      <c r="H49" s="11">
        <v>105</v>
      </c>
      <c r="I49" s="11">
        <v>249</v>
      </c>
      <c r="J49" s="11">
        <v>129</v>
      </c>
      <c r="K49" s="11">
        <v>54</v>
      </c>
      <c r="L49" s="11">
        <f t="shared" si="2"/>
        <v>169.2</v>
      </c>
      <c r="M49" s="11">
        <v>168.7</v>
      </c>
      <c r="N49" s="11">
        <f t="shared" si="3"/>
        <v>0.5</v>
      </c>
      <c r="O49" s="15">
        <v>1</v>
      </c>
      <c r="P49" s="11">
        <v>0</v>
      </c>
      <c r="Q49" s="11">
        <v>0</v>
      </c>
      <c r="R49" s="11"/>
      <c r="S49" s="11"/>
    </row>
    <row r="50" spans="1:19">
      <c r="A50" s="11">
        <v>308</v>
      </c>
      <c r="B50" s="15">
        <v>10</v>
      </c>
      <c r="C50" s="15">
        <v>1</v>
      </c>
      <c r="D50" s="15">
        <v>141.80000000000001</v>
      </c>
      <c r="E50" s="15">
        <v>33</v>
      </c>
      <c r="F50" s="15"/>
      <c r="G50" s="15">
        <v>89</v>
      </c>
      <c r="H50" s="15">
        <v>51</v>
      </c>
      <c r="I50" s="11">
        <v>236</v>
      </c>
      <c r="J50" s="11">
        <v>43</v>
      </c>
      <c r="K50" s="11">
        <v>74</v>
      </c>
      <c r="L50" s="11">
        <f t="shared" si="2"/>
        <v>153.4</v>
      </c>
      <c r="M50" s="11">
        <v>149</v>
      </c>
      <c r="N50" s="11">
        <f t="shared" si="3"/>
        <v>4.4000000000000057</v>
      </c>
      <c r="O50" s="15">
        <v>1</v>
      </c>
      <c r="P50" s="11">
        <v>0</v>
      </c>
      <c r="Q50" s="15">
        <v>1</v>
      </c>
      <c r="R50" s="15">
        <v>1</v>
      </c>
      <c r="S50" s="15">
        <v>1</v>
      </c>
    </row>
    <row r="51" spans="1:19">
      <c r="A51" s="11">
        <v>337</v>
      </c>
      <c r="B51" s="11">
        <v>10</v>
      </c>
      <c r="C51" s="11">
        <v>1</v>
      </c>
      <c r="D51" s="11">
        <v>137.4</v>
      </c>
      <c r="E51" s="11">
        <v>36.4</v>
      </c>
      <c r="F51" s="11"/>
      <c r="G51" s="11"/>
      <c r="H51" s="11"/>
      <c r="I51" s="11">
        <v>252</v>
      </c>
      <c r="J51" s="11">
        <v>100</v>
      </c>
      <c r="K51" s="11">
        <v>51</v>
      </c>
      <c r="L51" s="11">
        <f t="shared" si="2"/>
        <v>181</v>
      </c>
      <c r="M51" s="11">
        <v>178.8</v>
      </c>
      <c r="N51" s="11">
        <f t="shared" si="3"/>
        <v>2.1999999999999886</v>
      </c>
      <c r="O51" s="15">
        <v>1</v>
      </c>
      <c r="P51" s="11">
        <v>0</v>
      </c>
      <c r="Q51" s="11">
        <v>0</v>
      </c>
      <c r="R51" s="11"/>
      <c r="S51" s="11"/>
    </row>
    <row r="52" spans="1:19">
      <c r="A52" s="11">
        <v>356</v>
      </c>
      <c r="B52" s="15">
        <v>3</v>
      </c>
      <c r="C52" s="15">
        <v>0</v>
      </c>
      <c r="D52" s="15">
        <v>99</v>
      </c>
      <c r="E52" s="15">
        <v>17.7</v>
      </c>
      <c r="F52" s="15"/>
      <c r="G52" s="15"/>
      <c r="H52" s="15"/>
      <c r="I52" s="11">
        <v>431</v>
      </c>
      <c r="J52" s="11">
        <v>82</v>
      </c>
      <c r="K52" s="11">
        <v>66</v>
      </c>
      <c r="L52" s="11">
        <f t="shared" si="2"/>
        <v>348.6</v>
      </c>
      <c r="M52" s="11">
        <v>345.5</v>
      </c>
      <c r="N52" s="11">
        <f t="shared" si="3"/>
        <v>3.1000000000000227</v>
      </c>
      <c r="O52" s="15">
        <v>1</v>
      </c>
      <c r="P52" s="11">
        <v>0</v>
      </c>
      <c r="Q52" s="15">
        <v>1</v>
      </c>
      <c r="R52" s="15">
        <v>1</v>
      </c>
      <c r="S52" s="15">
        <v>1</v>
      </c>
    </row>
    <row r="53" spans="1:19">
      <c r="A53" s="11">
        <v>357</v>
      </c>
      <c r="B53" s="15">
        <v>2</v>
      </c>
      <c r="C53" s="15">
        <v>1</v>
      </c>
      <c r="D53" s="15">
        <v>82.8</v>
      </c>
      <c r="E53" s="15">
        <v>12.8</v>
      </c>
      <c r="F53" s="15"/>
      <c r="G53" s="15"/>
      <c r="H53" s="15"/>
      <c r="I53" s="11">
        <v>354</v>
      </c>
      <c r="J53" s="11">
        <v>92</v>
      </c>
      <c r="K53" s="11">
        <v>58</v>
      </c>
      <c r="L53" s="11">
        <f t="shared" si="2"/>
        <v>277.60000000000002</v>
      </c>
      <c r="M53" s="11">
        <v>274.60000000000002</v>
      </c>
      <c r="N53" s="11">
        <f t="shared" si="3"/>
        <v>3</v>
      </c>
      <c r="O53" s="15">
        <v>1</v>
      </c>
      <c r="P53" s="11">
        <v>0</v>
      </c>
      <c r="Q53" s="15">
        <v>1</v>
      </c>
      <c r="R53" s="15">
        <v>1</v>
      </c>
      <c r="S53" s="15">
        <v>1</v>
      </c>
    </row>
    <row r="54" spans="1:19">
      <c r="A54" s="11">
        <v>368</v>
      </c>
      <c r="B54" s="15">
        <v>11</v>
      </c>
      <c r="C54" s="15">
        <v>0</v>
      </c>
      <c r="D54" s="15">
        <v>130.69999999999999</v>
      </c>
      <c r="E54" s="15">
        <v>23.3</v>
      </c>
      <c r="F54" s="15">
        <v>107</v>
      </c>
      <c r="G54" s="15">
        <v>105</v>
      </c>
      <c r="H54" s="15">
        <v>51</v>
      </c>
      <c r="I54" s="11">
        <v>247</v>
      </c>
      <c r="J54" s="11">
        <v>152</v>
      </c>
      <c r="K54" s="11">
        <v>60</v>
      </c>
      <c r="L54" s="11">
        <f t="shared" si="2"/>
        <v>156.6</v>
      </c>
      <c r="M54" s="11">
        <v>158.9</v>
      </c>
      <c r="N54" s="11">
        <f t="shared" si="3"/>
        <v>-2.3000000000000114</v>
      </c>
      <c r="O54" s="15">
        <v>0</v>
      </c>
      <c r="P54" s="11">
        <v>0</v>
      </c>
      <c r="Q54" s="15">
        <v>0</v>
      </c>
      <c r="R54" s="15"/>
      <c r="S54" s="15"/>
    </row>
    <row r="55" spans="1:19">
      <c r="O55" s="4"/>
    </row>
    <row r="56" spans="1:19">
      <c r="O56" s="4"/>
    </row>
    <row r="57" spans="1:19">
      <c r="O57" s="4"/>
    </row>
    <row r="58" spans="1:19">
      <c r="O58" s="4"/>
    </row>
    <row r="59" spans="1:19">
      <c r="O59" s="4"/>
    </row>
    <row r="60" spans="1:19">
      <c r="O60" s="4"/>
    </row>
    <row r="61" spans="1:19">
      <c r="O61" s="4"/>
    </row>
    <row r="62" spans="1:19">
      <c r="O62" s="4"/>
    </row>
    <row r="63" spans="1:19">
      <c r="O63" s="4"/>
    </row>
    <row r="64" spans="1:19">
      <c r="O64" s="4"/>
    </row>
    <row r="65" spans="2:19">
      <c r="O65" s="4"/>
    </row>
    <row r="66" spans="2:19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2:19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S67" s="4"/>
    </row>
    <row r="90" spans="2:8">
      <c r="B90" s="5"/>
      <c r="C90" s="5"/>
      <c r="D90" s="5"/>
      <c r="E90" s="5"/>
      <c r="F90" s="5"/>
      <c r="G90" s="5"/>
      <c r="H90" s="5"/>
    </row>
    <row r="100" spans="9:19">
      <c r="O100" s="3"/>
      <c r="Q100" s="3"/>
      <c r="R100" s="3"/>
      <c r="S100" s="3"/>
    </row>
    <row r="101" spans="9:19">
      <c r="I101" s="2"/>
      <c r="J101" s="2"/>
      <c r="K101" s="2"/>
      <c r="L101" s="2"/>
      <c r="M101" s="2"/>
      <c r="N101" s="2"/>
      <c r="P101" s="2"/>
    </row>
    <row r="143" spans="17:19">
      <c r="Q143" s="6"/>
      <c r="R143" s="6"/>
      <c r="S143" s="6"/>
    </row>
    <row r="146" spans="17:19">
      <c r="Q146" s="6"/>
      <c r="R146" s="6"/>
      <c r="S146" s="6"/>
    </row>
    <row r="148" spans="17:19">
      <c r="Q148" s="6"/>
      <c r="R148" s="6"/>
      <c r="S148" s="6"/>
    </row>
    <row r="155" spans="17:19">
      <c r="Q155" s="6"/>
      <c r="R155" s="6"/>
      <c r="S155" s="6"/>
    </row>
    <row r="156" spans="17:19">
      <c r="Q156" s="6"/>
      <c r="R156" s="6"/>
      <c r="S156" s="6"/>
    </row>
    <row r="157" spans="17:19">
      <c r="Q157" s="6"/>
      <c r="R157" s="6"/>
      <c r="S157" s="6"/>
    </row>
    <row r="161" spans="1:19">
      <c r="Q161" s="6"/>
      <c r="R161" s="6"/>
      <c r="S161" s="6"/>
    </row>
    <row r="162" spans="1:19">
      <c r="A162" s="7"/>
      <c r="I162" s="7"/>
      <c r="J162" s="7"/>
      <c r="K162" s="7"/>
      <c r="L162" s="7"/>
      <c r="M162" s="7"/>
      <c r="N162" s="7"/>
    </row>
    <row r="164" spans="1:19">
      <c r="Q164" s="6"/>
      <c r="R164" s="6"/>
      <c r="S164" s="6"/>
    </row>
    <row r="165" spans="1:19">
      <c r="Q165" s="6"/>
      <c r="R165" s="6"/>
      <c r="S165" s="6"/>
    </row>
    <row r="166" spans="1:19">
      <c r="Q166" s="6"/>
      <c r="R166" s="6"/>
      <c r="S166" s="6"/>
    </row>
    <row r="169" spans="1:19">
      <c r="Q169" s="8"/>
      <c r="R169" s="8"/>
      <c r="S169" s="8"/>
    </row>
    <row r="185" spans="2:8">
      <c r="B185" s="5"/>
      <c r="C185" s="5"/>
      <c r="D185" s="5"/>
      <c r="E185" s="5"/>
      <c r="F185" s="5"/>
      <c r="G185" s="5"/>
      <c r="H185" s="5"/>
    </row>
    <row r="193" spans="1:14">
      <c r="A193" s="7"/>
      <c r="I193" s="7"/>
      <c r="J193" s="7"/>
      <c r="K193" s="7"/>
      <c r="L193" s="7"/>
      <c r="M193" s="7"/>
      <c r="N193" s="7"/>
    </row>
    <row r="221" spans="2:16">
      <c r="B221" s="5"/>
      <c r="C221" s="5"/>
      <c r="D221" s="5"/>
      <c r="E221" s="5"/>
      <c r="F221" s="5"/>
      <c r="G221" s="5"/>
      <c r="H221" s="5"/>
    </row>
    <row r="224" spans="2:16">
      <c r="P224" s="9"/>
    </row>
    <row r="231" spans="2:8">
      <c r="B231" s="5"/>
      <c r="C231" s="5"/>
      <c r="D231" s="5"/>
      <c r="E231" s="5"/>
      <c r="F231" s="5"/>
      <c r="G231" s="5"/>
      <c r="H231" s="5"/>
    </row>
    <row r="282" spans="8:19">
      <c r="H282"/>
      <c r="Q282"/>
      <c r="R282"/>
      <c r="S282"/>
    </row>
  </sheetData>
  <sortState xmlns:xlrd2="http://schemas.microsoft.com/office/spreadsheetml/2017/richdata2" ref="A2:S282">
    <sortCondition ref="A1:A282"/>
  </sortState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　良介(s23d719)</dc:creator>
  <cp:lastModifiedBy>谷　良介(s23d719)</cp:lastModifiedBy>
  <dcterms:created xsi:type="dcterms:W3CDTF">2025-10-01T01:42:36Z</dcterms:created>
  <dcterms:modified xsi:type="dcterms:W3CDTF">2025-10-20T03:18:28Z</dcterms:modified>
</cp:coreProperties>
</file>